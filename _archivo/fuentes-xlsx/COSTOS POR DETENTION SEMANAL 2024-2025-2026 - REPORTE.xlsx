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erez\Desktop\SSB\CONTROL DE VACIOS\"/>
    </mc:Choice>
  </mc:AlternateContent>
  <bookViews>
    <workbookView xWindow="0" yWindow="0" windowWidth="23040" windowHeight="9192" activeTab="2"/>
  </bookViews>
  <sheets>
    <sheet name="COSTOS DETENTION SEMANAL 2024" sheetId="6" r:id="rId1"/>
    <sheet name="COSTOS DETENTION SEMANAL 2025" sheetId="9" r:id="rId2"/>
    <sheet name="COSTOS DETENTION SEMANAL 2026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0" l="1"/>
  <c r="T13" i="10"/>
  <c r="M13" i="10"/>
  <c r="F13" i="10"/>
  <c r="T12" i="10"/>
  <c r="M12" i="10"/>
  <c r="V12" i="10" s="1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F6" i="10"/>
  <c r="T5" i="10"/>
  <c r="M5" i="10"/>
  <c r="V5" i="10" s="1"/>
  <c r="F5" i="10"/>
  <c r="T4" i="10"/>
  <c r="M4" i="10"/>
  <c r="F4" i="10"/>
  <c r="T3" i="10"/>
  <c r="M3" i="10"/>
  <c r="T2" i="10"/>
  <c r="M2" i="10"/>
  <c r="F2" i="10"/>
  <c r="V7" i="10" l="1"/>
  <c r="V4" i="10"/>
  <c r="V2" i="10"/>
  <c r="V6" i="10"/>
  <c r="V3" i="10"/>
  <c r="V10" i="10"/>
  <c r="V11" i="10"/>
  <c r="V13" i="10"/>
  <c r="V9" i="10"/>
  <c r="V8" i="10"/>
  <c r="T7" i="9"/>
  <c r="F3" i="9" l="1"/>
  <c r="F4" i="9"/>
  <c r="F5" i="9"/>
  <c r="F6" i="9"/>
  <c r="F7" i="9"/>
  <c r="F8" i="9"/>
  <c r="F9" i="9"/>
  <c r="F10" i="9"/>
  <c r="F11" i="9"/>
  <c r="F12" i="9"/>
  <c r="F13" i="9"/>
  <c r="F2" i="9"/>
  <c r="T3" i="9"/>
  <c r="T4" i="9"/>
  <c r="T5" i="9"/>
  <c r="T6" i="9"/>
  <c r="T8" i="9"/>
  <c r="T9" i="9"/>
  <c r="T10" i="9"/>
  <c r="T11" i="9"/>
  <c r="T12" i="9"/>
  <c r="T13" i="9"/>
  <c r="T2" i="9"/>
  <c r="M3" i="9"/>
  <c r="M4" i="9"/>
  <c r="M5" i="9"/>
  <c r="M7" i="9"/>
  <c r="M8" i="9"/>
  <c r="M9" i="9"/>
  <c r="M10" i="9"/>
  <c r="M11" i="9"/>
  <c r="M12" i="9"/>
  <c r="M13" i="9"/>
  <c r="M2" i="9"/>
  <c r="V13" i="9" l="1"/>
  <c r="V12" i="9"/>
  <c r="V11" i="9"/>
  <c r="V10" i="9"/>
  <c r="V9" i="9"/>
  <c r="V8" i="9"/>
  <c r="V6" i="9"/>
  <c r="V7" i="9"/>
  <c r="V5" i="9"/>
  <c r="V4" i="9"/>
  <c r="V3" i="9"/>
  <c r="V2" i="9"/>
  <c r="S4" i="6" l="1"/>
  <c r="O13" i="6"/>
  <c r="S13" i="6" s="1"/>
  <c r="O12" i="6"/>
  <c r="S12" i="6" s="1"/>
  <c r="O11" i="6"/>
  <c r="O10" i="6"/>
  <c r="S10" i="6" s="1"/>
  <c r="O9" i="6"/>
  <c r="S9" i="6" s="1"/>
  <c r="O8" i="6"/>
  <c r="S8" i="6" s="1"/>
  <c r="O7" i="6"/>
  <c r="O6" i="6"/>
  <c r="O5" i="6"/>
  <c r="S5" i="6" s="1"/>
  <c r="O4" i="6"/>
  <c r="O3" i="6"/>
  <c r="S3" i="6" s="1"/>
  <c r="O2" i="6"/>
  <c r="S2" i="6" s="1"/>
  <c r="F3" i="6"/>
  <c r="F4" i="6"/>
  <c r="F5" i="6"/>
  <c r="F6" i="6"/>
  <c r="F7" i="6"/>
  <c r="F8" i="6"/>
  <c r="F9" i="6"/>
  <c r="F11" i="6"/>
  <c r="F12" i="6"/>
  <c r="F13" i="6"/>
  <c r="F2" i="6"/>
  <c r="S11" i="6" l="1"/>
  <c r="S7" i="6"/>
  <c r="S6" i="6"/>
</calcChain>
</file>

<file path=xl/sharedStrings.xml><?xml version="1.0" encoding="utf-8"?>
<sst xmlns="http://schemas.openxmlformats.org/spreadsheetml/2006/main" count="51" uniqueCount="9">
  <si>
    <t>GRAND TOTAL</t>
  </si>
  <si>
    <t>HAPAG</t>
  </si>
  <si>
    <t>W1</t>
  </si>
  <si>
    <t>W2</t>
  </si>
  <si>
    <t>W3</t>
  </si>
  <si>
    <t>W4</t>
  </si>
  <si>
    <t>Total</t>
  </si>
  <si>
    <t>MAERSK</t>
  </si>
  <si>
    <t>CMA-CGM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</si>
</sst>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[$USD]\ * #,##0.00_ ;_ [$USD]\ * \-#,##0.00_ ;_ [$USD]\ * &quot;-&quot;??_ ;_ @_ "/>
    <numFmt numFmtId="165" formatCode="_-[$USD]\ * #,##0.00_-;\-[$USD]\ * #,##0.00_-;_-[$USD]\ * &quot;-&quot;??_-;_-@_-"/>
    <numFmt numFmtId="166" formatCode="_([$USD]\ * #,##0.00_);_([$USD]\ * \(#,##0.00\);_([$USD]\ 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 vertical="center" wrapText="1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7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8" borderId="0" xfId="0" applyFill="1"/>
    <xf numFmtId="166" fontId="5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opLeftCell="G1" workbookViewId="0">
      <selection activeCell="S15" sqref="S15:S17"/>
    </sheetView>
  </sheetViews>
  <sheetFormatPr baseColWidth="10" defaultRowHeight="14.4" x14ac:dyDescent="0.3"/>
  <cols>
    <col min="1" max="1" width="16.77734375" customWidth="1"/>
    <col min="2" max="6" width="18.77734375" customWidth="1"/>
    <col min="10" max="15" width="18.77734375" customWidth="1"/>
    <col min="19" max="19" width="20.33203125" customWidth="1"/>
  </cols>
  <sheetData>
    <row r="1" spans="1:19" ht="15.6" x14ac:dyDescent="0.3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H1" s="4"/>
      <c r="J1" s="10" t="s">
        <v>7</v>
      </c>
      <c r="K1" s="10" t="s">
        <v>2</v>
      </c>
      <c r="L1" s="10" t="s">
        <v>3</v>
      </c>
      <c r="M1" s="10" t="s">
        <v>4</v>
      </c>
      <c r="N1" s="10" t="s">
        <v>5</v>
      </c>
      <c r="O1" s="10" t="s">
        <v>6</v>
      </c>
      <c r="Q1" s="2"/>
      <c r="S1" s="5" t="s">
        <v>0</v>
      </c>
    </row>
    <row r="2" spans="1:19" ht="15" x14ac:dyDescent="0.3">
      <c r="A2" s="7">
        <v>45292</v>
      </c>
      <c r="B2" s="8">
        <v>0</v>
      </c>
      <c r="C2" s="8">
        <v>0</v>
      </c>
      <c r="D2" s="8">
        <v>0</v>
      </c>
      <c r="E2" s="8">
        <v>0</v>
      </c>
      <c r="F2" s="8">
        <f>E2+D2+C2+B2</f>
        <v>0</v>
      </c>
      <c r="H2" s="4"/>
      <c r="J2" s="7">
        <v>45292</v>
      </c>
      <c r="K2" s="8">
        <v>2065</v>
      </c>
      <c r="L2" s="8">
        <v>0</v>
      </c>
      <c r="M2" s="8">
        <v>24990</v>
      </c>
      <c r="N2" s="8">
        <v>39150</v>
      </c>
      <c r="O2" s="8">
        <f>N2+M2+L2+K2</f>
        <v>66205</v>
      </c>
      <c r="Q2" s="2"/>
      <c r="S2" s="6">
        <f>O2+F2</f>
        <v>66205</v>
      </c>
    </row>
    <row r="3" spans="1:19" ht="15" x14ac:dyDescent="0.3">
      <c r="A3" s="7">
        <v>45323</v>
      </c>
      <c r="B3" s="8">
        <v>0</v>
      </c>
      <c r="C3" s="8">
        <v>0</v>
      </c>
      <c r="D3" s="8">
        <v>0</v>
      </c>
      <c r="E3" s="8">
        <v>0</v>
      </c>
      <c r="F3" s="8">
        <f t="shared" ref="F3:F13" si="0">E3+D3+C3+B3</f>
        <v>0</v>
      </c>
      <c r="H3" s="4"/>
      <c r="J3" s="7">
        <v>45323</v>
      </c>
      <c r="K3" s="8">
        <v>7455</v>
      </c>
      <c r="L3" s="8">
        <v>210</v>
      </c>
      <c r="M3" s="8">
        <v>34370</v>
      </c>
      <c r="N3" s="8">
        <v>13150</v>
      </c>
      <c r="O3" s="8">
        <f t="shared" ref="O3:O13" si="1">N3+M3+L3+K3</f>
        <v>55185</v>
      </c>
      <c r="Q3" s="2"/>
      <c r="S3" s="6">
        <f t="shared" ref="S3:S13" si="2">O3+F3</f>
        <v>55185</v>
      </c>
    </row>
    <row r="4" spans="1:19" ht="15" x14ac:dyDescent="0.3">
      <c r="A4" s="7">
        <v>45352</v>
      </c>
      <c r="B4" s="8">
        <v>0</v>
      </c>
      <c r="C4" s="8">
        <v>0</v>
      </c>
      <c r="D4" s="8">
        <v>0</v>
      </c>
      <c r="E4" s="8">
        <v>0</v>
      </c>
      <c r="F4" s="8">
        <f t="shared" si="0"/>
        <v>0</v>
      </c>
      <c r="H4" s="4"/>
      <c r="J4" s="7">
        <v>45352</v>
      </c>
      <c r="K4" s="8">
        <v>280</v>
      </c>
      <c r="L4" s="8">
        <v>4445</v>
      </c>
      <c r="M4" s="8">
        <v>11060</v>
      </c>
      <c r="N4" s="8">
        <v>6020</v>
      </c>
      <c r="O4" s="8">
        <f t="shared" si="1"/>
        <v>21805</v>
      </c>
      <c r="Q4" s="2"/>
      <c r="S4" s="6">
        <f t="shared" si="2"/>
        <v>21805</v>
      </c>
    </row>
    <row r="5" spans="1:19" ht="15" x14ac:dyDescent="0.3">
      <c r="A5" s="7">
        <v>45383</v>
      </c>
      <c r="B5" s="8">
        <v>0</v>
      </c>
      <c r="C5" s="8">
        <v>0</v>
      </c>
      <c r="D5" s="8">
        <v>0</v>
      </c>
      <c r="E5" s="8">
        <v>0</v>
      </c>
      <c r="F5" s="8">
        <f t="shared" si="0"/>
        <v>0</v>
      </c>
      <c r="H5" s="4"/>
      <c r="J5" s="7">
        <v>45383</v>
      </c>
      <c r="K5" s="8">
        <v>7830</v>
      </c>
      <c r="L5" s="8">
        <v>0</v>
      </c>
      <c r="M5" s="8">
        <v>22365</v>
      </c>
      <c r="N5" s="8">
        <v>15575</v>
      </c>
      <c r="O5" s="8">
        <f t="shared" si="1"/>
        <v>45770</v>
      </c>
      <c r="Q5" s="2"/>
      <c r="S5" s="6">
        <f t="shared" si="2"/>
        <v>45770</v>
      </c>
    </row>
    <row r="6" spans="1:19" ht="15" x14ac:dyDescent="0.3">
      <c r="A6" s="7">
        <v>45413</v>
      </c>
      <c r="B6" s="8">
        <v>0</v>
      </c>
      <c r="C6" s="8">
        <v>5500</v>
      </c>
      <c r="D6" s="8">
        <v>0</v>
      </c>
      <c r="E6" s="8">
        <v>0</v>
      </c>
      <c r="F6" s="8">
        <f t="shared" si="0"/>
        <v>5500</v>
      </c>
      <c r="H6" s="4"/>
      <c r="J6" s="7">
        <v>45413</v>
      </c>
      <c r="K6" s="8">
        <v>9170</v>
      </c>
      <c r="L6" s="8">
        <v>8385</v>
      </c>
      <c r="M6" s="8">
        <v>1330</v>
      </c>
      <c r="N6" s="8">
        <v>1435</v>
      </c>
      <c r="O6" s="8">
        <f t="shared" si="1"/>
        <v>20320</v>
      </c>
      <c r="Q6" s="2"/>
      <c r="S6" s="6">
        <f t="shared" si="2"/>
        <v>25820</v>
      </c>
    </row>
    <row r="7" spans="1:19" ht="15" x14ac:dyDescent="0.3">
      <c r="A7" s="7">
        <v>45444</v>
      </c>
      <c r="B7" s="8">
        <v>0</v>
      </c>
      <c r="C7" s="8">
        <v>0</v>
      </c>
      <c r="D7" s="8">
        <v>0</v>
      </c>
      <c r="E7" s="8">
        <v>5950</v>
      </c>
      <c r="F7" s="8">
        <f t="shared" si="0"/>
        <v>5950</v>
      </c>
      <c r="H7" s="4"/>
      <c r="J7" s="7">
        <v>45444</v>
      </c>
      <c r="K7" s="8">
        <v>3115</v>
      </c>
      <c r="L7" s="8">
        <v>31945</v>
      </c>
      <c r="M7" s="8">
        <v>9310</v>
      </c>
      <c r="N7" s="8">
        <v>5215</v>
      </c>
      <c r="O7" s="8">
        <f t="shared" si="1"/>
        <v>49585</v>
      </c>
      <c r="Q7" s="2"/>
      <c r="S7" s="6">
        <f t="shared" si="2"/>
        <v>55535</v>
      </c>
    </row>
    <row r="8" spans="1:19" ht="15" x14ac:dyDescent="0.3">
      <c r="A8" s="7">
        <v>45474</v>
      </c>
      <c r="B8" s="8">
        <v>0</v>
      </c>
      <c r="C8" s="8">
        <v>0</v>
      </c>
      <c r="D8" s="8">
        <v>0</v>
      </c>
      <c r="E8" s="8">
        <v>0</v>
      </c>
      <c r="F8" s="8">
        <f t="shared" si="0"/>
        <v>0</v>
      </c>
      <c r="H8" s="4"/>
      <c r="J8" s="7">
        <v>45474</v>
      </c>
      <c r="K8" s="8">
        <v>4025</v>
      </c>
      <c r="L8" s="8">
        <v>3015</v>
      </c>
      <c r="M8" s="8">
        <v>12650</v>
      </c>
      <c r="N8" s="8">
        <v>7910</v>
      </c>
      <c r="O8" s="8">
        <f t="shared" si="1"/>
        <v>27600</v>
      </c>
      <c r="Q8" s="2"/>
      <c r="S8" s="6">
        <f t="shared" si="2"/>
        <v>27600</v>
      </c>
    </row>
    <row r="9" spans="1:19" ht="15" x14ac:dyDescent="0.3">
      <c r="A9" s="7">
        <v>45505</v>
      </c>
      <c r="B9" s="8">
        <v>0</v>
      </c>
      <c r="C9" s="8">
        <v>0</v>
      </c>
      <c r="D9" s="8">
        <v>0</v>
      </c>
      <c r="E9" s="8">
        <v>0</v>
      </c>
      <c r="F9" s="8">
        <f t="shared" si="0"/>
        <v>0</v>
      </c>
      <c r="H9" s="4"/>
      <c r="J9" s="7">
        <v>45505</v>
      </c>
      <c r="K9" s="8">
        <v>560</v>
      </c>
      <c r="L9" s="8">
        <v>1240</v>
      </c>
      <c r="M9" s="8">
        <v>4410</v>
      </c>
      <c r="N9" s="8">
        <v>15050</v>
      </c>
      <c r="O9" s="8">
        <f t="shared" si="1"/>
        <v>21260</v>
      </c>
      <c r="Q9" s="2"/>
      <c r="S9" s="6">
        <f t="shared" si="2"/>
        <v>21260</v>
      </c>
    </row>
    <row r="10" spans="1:19" ht="15" x14ac:dyDescent="0.3">
      <c r="A10" s="7">
        <v>45536</v>
      </c>
      <c r="B10" s="8">
        <v>0</v>
      </c>
      <c r="C10" s="8">
        <v>0</v>
      </c>
      <c r="D10" s="8">
        <v>0</v>
      </c>
      <c r="E10" s="8">
        <v>0</v>
      </c>
      <c r="F10" s="8">
        <v>700</v>
      </c>
      <c r="H10" s="4"/>
      <c r="J10" s="7">
        <v>45536</v>
      </c>
      <c r="K10" s="8">
        <v>12075</v>
      </c>
      <c r="L10" s="8">
        <v>8995</v>
      </c>
      <c r="M10" s="8">
        <v>4830</v>
      </c>
      <c r="N10" s="8">
        <v>5880</v>
      </c>
      <c r="O10" s="8">
        <f t="shared" si="1"/>
        <v>31780</v>
      </c>
      <c r="Q10" s="2"/>
      <c r="S10" s="6">
        <f t="shared" si="2"/>
        <v>32480</v>
      </c>
    </row>
    <row r="11" spans="1:19" ht="15" x14ac:dyDescent="0.3">
      <c r="A11" s="7">
        <v>45566</v>
      </c>
      <c r="B11" s="8">
        <v>0</v>
      </c>
      <c r="C11" s="8">
        <v>500</v>
      </c>
      <c r="D11" s="8">
        <v>1825</v>
      </c>
      <c r="E11" s="8">
        <v>0</v>
      </c>
      <c r="F11" s="8">
        <f t="shared" si="0"/>
        <v>2325</v>
      </c>
      <c r="H11" s="4"/>
      <c r="J11" s="7">
        <v>45566</v>
      </c>
      <c r="K11" s="8">
        <v>2555</v>
      </c>
      <c r="L11" s="8">
        <v>1330</v>
      </c>
      <c r="M11" s="8">
        <v>11130</v>
      </c>
      <c r="N11" s="8">
        <v>7560</v>
      </c>
      <c r="O11" s="8">
        <f t="shared" si="1"/>
        <v>22575</v>
      </c>
      <c r="Q11" s="2"/>
      <c r="S11" s="6">
        <f t="shared" si="2"/>
        <v>24900</v>
      </c>
    </row>
    <row r="12" spans="1:19" ht="15" x14ac:dyDescent="0.3">
      <c r="A12" s="7">
        <v>45597</v>
      </c>
      <c r="B12" s="8">
        <v>0</v>
      </c>
      <c r="C12" s="8">
        <v>0</v>
      </c>
      <c r="D12" s="8">
        <v>0</v>
      </c>
      <c r="E12" s="8">
        <v>0</v>
      </c>
      <c r="F12" s="8">
        <f t="shared" si="0"/>
        <v>0</v>
      </c>
      <c r="H12" s="4"/>
      <c r="J12" s="7">
        <v>45597</v>
      </c>
      <c r="K12" s="8">
        <v>5180</v>
      </c>
      <c r="L12" s="8">
        <v>10290</v>
      </c>
      <c r="M12" s="8">
        <v>4690</v>
      </c>
      <c r="N12" s="8">
        <v>3045</v>
      </c>
      <c r="O12" s="8">
        <f t="shared" si="1"/>
        <v>23205</v>
      </c>
      <c r="Q12" s="2"/>
      <c r="S12" s="6">
        <f t="shared" si="2"/>
        <v>23205</v>
      </c>
    </row>
    <row r="13" spans="1:19" ht="15" x14ac:dyDescent="0.3">
      <c r="A13" s="7">
        <v>45627</v>
      </c>
      <c r="B13" s="8">
        <v>0</v>
      </c>
      <c r="C13" s="8">
        <v>0</v>
      </c>
      <c r="D13" s="8">
        <v>0</v>
      </c>
      <c r="E13" s="8">
        <v>0</v>
      </c>
      <c r="F13" s="8">
        <f t="shared" si="0"/>
        <v>0</v>
      </c>
      <c r="H13" s="4"/>
      <c r="J13" s="7">
        <v>45627</v>
      </c>
      <c r="K13" s="8">
        <v>5320</v>
      </c>
      <c r="L13" s="8">
        <v>20195</v>
      </c>
      <c r="M13" s="8">
        <v>4270</v>
      </c>
      <c r="N13" s="8">
        <v>4865</v>
      </c>
      <c r="O13" s="8">
        <f t="shared" si="1"/>
        <v>34650</v>
      </c>
      <c r="Q13" s="2"/>
      <c r="S13" s="6">
        <f t="shared" si="2"/>
        <v>34650</v>
      </c>
    </row>
    <row r="14" spans="1:19" ht="15" x14ac:dyDescent="0.3">
      <c r="A14" s="3"/>
      <c r="B14" s="1"/>
      <c r="C14" s="1"/>
      <c r="D14" s="1"/>
      <c r="E14" s="1"/>
      <c r="F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topLeftCell="F1" workbookViewId="0">
      <selection activeCell="J12" sqref="J12"/>
    </sheetView>
  </sheetViews>
  <sheetFormatPr baseColWidth="10" defaultRowHeight="14.4" x14ac:dyDescent="0.3"/>
  <cols>
    <col min="1" max="1" width="16.77734375" customWidth="1"/>
    <col min="2" max="6" width="18.77734375" customWidth="1"/>
    <col min="8" max="13" width="18.77734375" customWidth="1"/>
    <col min="16" max="21" width="18.21875" customWidth="1"/>
    <col min="22" max="22" width="24.77734375" customWidth="1"/>
  </cols>
  <sheetData>
    <row r="1" spans="1:22" ht="15.6" x14ac:dyDescent="0.3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4"/>
      <c r="H1" s="10" t="s">
        <v>7</v>
      </c>
      <c r="I1" s="10" t="s">
        <v>2</v>
      </c>
      <c r="J1" s="10" t="s">
        <v>3</v>
      </c>
      <c r="K1" s="10" t="s">
        <v>4</v>
      </c>
      <c r="L1" s="10" t="s">
        <v>5</v>
      </c>
      <c r="M1" s="10" t="s">
        <v>6</v>
      </c>
      <c r="N1" s="2"/>
      <c r="O1" s="10" t="s">
        <v>8</v>
      </c>
      <c r="P1" s="10" t="s">
        <v>2</v>
      </c>
      <c r="Q1" s="10" t="s">
        <v>3</v>
      </c>
      <c r="R1" s="10" t="s">
        <v>4</v>
      </c>
      <c r="S1" s="10" t="s">
        <v>5</v>
      </c>
      <c r="T1" s="10" t="s">
        <v>6</v>
      </c>
      <c r="U1" s="11"/>
      <c r="V1" s="5" t="s">
        <v>0</v>
      </c>
    </row>
    <row r="2" spans="1:22" ht="18" x14ac:dyDescent="0.3">
      <c r="A2" s="7">
        <v>45658</v>
      </c>
      <c r="B2" s="8">
        <v>0</v>
      </c>
      <c r="C2" s="8">
        <v>0</v>
      </c>
      <c r="D2" s="8">
        <v>0</v>
      </c>
      <c r="E2" s="8">
        <v>0</v>
      </c>
      <c r="F2" s="8">
        <f>B2+C2+D2+E2</f>
        <v>0</v>
      </c>
      <c r="G2" s="4"/>
      <c r="H2" s="7">
        <v>45658</v>
      </c>
      <c r="I2" s="8">
        <v>6405</v>
      </c>
      <c r="J2" s="8">
        <v>8750</v>
      </c>
      <c r="K2" s="8">
        <v>1190</v>
      </c>
      <c r="L2" s="8">
        <v>8190</v>
      </c>
      <c r="M2" s="8">
        <f>I2+J2+K2+L2</f>
        <v>24535</v>
      </c>
      <c r="N2" s="2"/>
      <c r="O2" s="7">
        <v>45658</v>
      </c>
      <c r="P2" s="8">
        <v>0</v>
      </c>
      <c r="Q2" s="8">
        <v>0</v>
      </c>
      <c r="R2" s="8">
        <v>0</v>
      </c>
      <c r="S2" s="8">
        <v>0</v>
      </c>
      <c r="T2" s="8">
        <f>P2+Q2+R2+S2</f>
        <v>0</v>
      </c>
      <c r="U2" s="11"/>
      <c r="V2" s="12">
        <f>M2+F2+T2</f>
        <v>24535</v>
      </c>
    </row>
    <row r="3" spans="1:22" ht="18" x14ac:dyDescent="0.3">
      <c r="A3" s="7">
        <v>45689</v>
      </c>
      <c r="B3" s="8">
        <v>0</v>
      </c>
      <c r="C3" s="8">
        <v>1500</v>
      </c>
      <c r="D3" s="8">
        <v>175</v>
      </c>
      <c r="E3" s="8">
        <v>175</v>
      </c>
      <c r="F3" s="8">
        <f t="shared" ref="F3:F13" si="0">B3+C3+D3+E3</f>
        <v>1850</v>
      </c>
      <c r="G3" s="4"/>
      <c r="H3" s="7">
        <v>45689</v>
      </c>
      <c r="I3" s="8">
        <v>770</v>
      </c>
      <c r="J3" s="8">
        <v>1435</v>
      </c>
      <c r="K3" s="8">
        <v>1120</v>
      </c>
      <c r="L3" s="8">
        <v>4830</v>
      </c>
      <c r="M3" s="8">
        <f t="shared" ref="M3:M13" si="1">I3+J3+K3+L3</f>
        <v>8155</v>
      </c>
      <c r="N3" s="2"/>
      <c r="O3" s="7">
        <v>45689</v>
      </c>
      <c r="P3" s="8">
        <v>0</v>
      </c>
      <c r="Q3" s="8">
        <v>0</v>
      </c>
      <c r="R3" s="8">
        <v>0</v>
      </c>
      <c r="S3" s="8">
        <v>0</v>
      </c>
      <c r="T3" s="8">
        <f t="shared" ref="T3:T13" si="2">P3+Q3+R3+S3</f>
        <v>0</v>
      </c>
      <c r="U3" s="11"/>
      <c r="V3" s="12">
        <f t="shared" ref="V3:V13" si="3">M3+F3+T3</f>
        <v>10005</v>
      </c>
    </row>
    <row r="4" spans="1:22" ht="18" x14ac:dyDescent="0.3">
      <c r="A4" s="7">
        <v>45717</v>
      </c>
      <c r="B4" s="8">
        <v>0</v>
      </c>
      <c r="C4" s="8">
        <v>0</v>
      </c>
      <c r="D4" s="8">
        <v>0</v>
      </c>
      <c r="E4" s="8">
        <v>0</v>
      </c>
      <c r="F4" s="8">
        <f t="shared" si="0"/>
        <v>0</v>
      </c>
      <c r="G4" s="4"/>
      <c r="H4" s="7">
        <v>45717</v>
      </c>
      <c r="I4" s="8">
        <v>2135</v>
      </c>
      <c r="J4" s="8">
        <v>0</v>
      </c>
      <c r="K4" s="8">
        <v>2891</v>
      </c>
      <c r="L4" s="8">
        <v>3990</v>
      </c>
      <c r="M4" s="8">
        <f t="shared" si="1"/>
        <v>9016</v>
      </c>
      <c r="N4" s="2"/>
      <c r="O4" s="7">
        <v>45717</v>
      </c>
      <c r="P4" s="8">
        <v>1200</v>
      </c>
      <c r="Q4" s="8">
        <v>0</v>
      </c>
      <c r="R4" s="8">
        <v>0</v>
      </c>
      <c r="S4" s="8">
        <v>6775</v>
      </c>
      <c r="T4" s="8">
        <f t="shared" si="2"/>
        <v>7975</v>
      </c>
      <c r="U4" s="11"/>
      <c r="V4" s="12">
        <f t="shared" si="3"/>
        <v>16991</v>
      </c>
    </row>
    <row r="5" spans="1:22" ht="18" x14ac:dyDescent="0.3">
      <c r="A5" s="7">
        <v>45748</v>
      </c>
      <c r="B5" s="8">
        <v>0</v>
      </c>
      <c r="C5" s="8">
        <v>0</v>
      </c>
      <c r="D5" s="8">
        <v>0</v>
      </c>
      <c r="E5" s="8">
        <v>0</v>
      </c>
      <c r="F5" s="8">
        <f t="shared" si="0"/>
        <v>0</v>
      </c>
      <c r="G5" s="4"/>
      <c r="H5" s="7">
        <v>45748</v>
      </c>
      <c r="I5" s="8">
        <v>0</v>
      </c>
      <c r="J5" s="8">
        <v>7742</v>
      </c>
      <c r="K5" s="8">
        <v>25281</v>
      </c>
      <c r="L5" s="8">
        <v>0</v>
      </c>
      <c r="M5" s="8">
        <f t="shared" si="1"/>
        <v>33023</v>
      </c>
      <c r="N5" s="2"/>
      <c r="O5" s="7">
        <v>45748</v>
      </c>
      <c r="P5" s="8">
        <v>5300</v>
      </c>
      <c r="Q5" s="8">
        <v>11650</v>
      </c>
      <c r="R5" s="8">
        <v>40350</v>
      </c>
      <c r="S5" s="8">
        <v>725</v>
      </c>
      <c r="T5" s="8">
        <f t="shared" si="2"/>
        <v>58025</v>
      </c>
      <c r="U5" s="11"/>
      <c r="V5" s="12">
        <f t="shared" si="3"/>
        <v>91048</v>
      </c>
    </row>
    <row r="6" spans="1:22" ht="18" x14ac:dyDescent="0.3">
      <c r="A6" s="7">
        <v>45778</v>
      </c>
      <c r="B6" s="8">
        <v>0</v>
      </c>
      <c r="C6" s="8">
        <v>0</v>
      </c>
      <c r="D6" s="8">
        <v>0</v>
      </c>
      <c r="E6" s="8">
        <v>0</v>
      </c>
      <c r="F6" s="8">
        <f t="shared" si="0"/>
        <v>0</v>
      </c>
      <c r="G6" s="4"/>
      <c r="H6" s="7">
        <v>45778</v>
      </c>
      <c r="I6" s="8">
        <v>0</v>
      </c>
      <c r="J6" s="8">
        <v>1610</v>
      </c>
      <c r="K6" s="8">
        <v>420</v>
      </c>
      <c r="L6" s="8">
        <v>1260</v>
      </c>
      <c r="M6" s="8">
        <v>3325</v>
      </c>
      <c r="N6" s="2"/>
      <c r="O6" s="7">
        <v>45778</v>
      </c>
      <c r="P6" s="8">
        <v>0</v>
      </c>
      <c r="Q6" s="8">
        <v>400</v>
      </c>
      <c r="R6" s="8">
        <v>0</v>
      </c>
      <c r="S6" s="8">
        <v>2125</v>
      </c>
      <c r="T6" s="8">
        <f t="shared" si="2"/>
        <v>2525</v>
      </c>
      <c r="U6" s="11"/>
      <c r="V6" s="12">
        <f t="shared" si="3"/>
        <v>5850</v>
      </c>
    </row>
    <row r="7" spans="1:22" ht="18" x14ac:dyDescent="0.3">
      <c r="A7" s="7">
        <v>45809</v>
      </c>
      <c r="B7" s="8">
        <v>0</v>
      </c>
      <c r="C7" s="8">
        <v>0</v>
      </c>
      <c r="D7" s="8">
        <v>0</v>
      </c>
      <c r="E7" s="8">
        <v>0</v>
      </c>
      <c r="F7" s="8">
        <f t="shared" si="0"/>
        <v>0</v>
      </c>
      <c r="G7" s="4"/>
      <c r="H7" s="7">
        <v>45809</v>
      </c>
      <c r="I7" s="8">
        <v>3500</v>
      </c>
      <c r="J7" s="8">
        <v>1330</v>
      </c>
      <c r="K7" s="8">
        <v>735</v>
      </c>
      <c r="L7" s="8">
        <v>3675</v>
      </c>
      <c r="M7" s="8">
        <f t="shared" si="1"/>
        <v>9240</v>
      </c>
      <c r="N7" s="2"/>
      <c r="O7" s="7">
        <v>45809</v>
      </c>
      <c r="P7" s="8">
        <v>825</v>
      </c>
      <c r="Q7" s="8">
        <v>200</v>
      </c>
      <c r="R7" s="8">
        <v>0</v>
      </c>
      <c r="S7" s="8">
        <v>0</v>
      </c>
      <c r="T7" s="8">
        <f t="shared" si="2"/>
        <v>1025</v>
      </c>
      <c r="U7" s="11"/>
      <c r="V7" s="12">
        <f t="shared" si="3"/>
        <v>10265</v>
      </c>
    </row>
    <row r="8" spans="1:22" ht="18" x14ac:dyDescent="0.3">
      <c r="A8" s="7">
        <v>45839</v>
      </c>
      <c r="B8" s="8">
        <v>2700</v>
      </c>
      <c r="C8" s="8">
        <v>0</v>
      </c>
      <c r="D8" s="8">
        <v>375</v>
      </c>
      <c r="E8" s="8">
        <v>600</v>
      </c>
      <c r="F8" s="8">
        <f t="shared" si="0"/>
        <v>3675</v>
      </c>
      <c r="G8" s="4"/>
      <c r="H8" s="7">
        <v>45839</v>
      </c>
      <c r="I8" s="8">
        <v>0</v>
      </c>
      <c r="J8" s="8">
        <v>0</v>
      </c>
      <c r="K8" s="8">
        <v>490</v>
      </c>
      <c r="L8" s="8">
        <v>1890</v>
      </c>
      <c r="M8" s="8">
        <f t="shared" si="1"/>
        <v>2380</v>
      </c>
      <c r="N8" s="2"/>
      <c r="O8" s="7">
        <v>45839</v>
      </c>
      <c r="P8" s="8">
        <v>1550</v>
      </c>
      <c r="Q8" s="8">
        <v>500</v>
      </c>
      <c r="R8" s="8">
        <v>75</v>
      </c>
      <c r="S8" s="8">
        <v>5300</v>
      </c>
      <c r="T8" s="8">
        <f t="shared" si="2"/>
        <v>7425</v>
      </c>
      <c r="U8" s="11"/>
      <c r="V8" s="12">
        <f t="shared" si="3"/>
        <v>13480</v>
      </c>
    </row>
    <row r="9" spans="1:22" ht="18" x14ac:dyDescent="0.3">
      <c r="A9" s="7">
        <v>45870</v>
      </c>
      <c r="B9" s="8">
        <v>0</v>
      </c>
      <c r="C9" s="8">
        <v>400</v>
      </c>
      <c r="D9" s="8">
        <v>0</v>
      </c>
      <c r="E9" s="8">
        <v>0</v>
      </c>
      <c r="F9" s="8">
        <f t="shared" si="0"/>
        <v>400</v>
      </c>
      <c r="G9" s="4"/>
      <c r="H9" s="7">
        <v>45870</v>
      </c>
      <c r="I9" s="8">
        <v>1925</v>
      </c>
      <c r="J9" s="8">
        <v>1015</v>
      </c>
      <c r="K9" s="8">
        <v>6930</v>
      </c>
      <c r="L9" s="8">
        <v>5285</v>
      </c>
      <c r="M9" s="8">
        <f t="shared" si="1"/>
        <v>15155</v>
      </c>
      <c r="N9" s="2"/>
      <c r="O9" s="7">
        <v>45870</v>
      </c>
      <c r="P9" s="8">
        <v>1075</v>
      </c>
      <c r="Q9" s="8">
        <v>725</v>
      </c>
      <c r="R9" s="8">
        <v>0</v>
      </c>
      <c r="S9" s="8">
        <v>0</v>
      </c>
      <c r="T9" s="8">
        <f t="shared" si="2"/>
        <v>1800</v>
      </c>
      <c r="U9" s="11"/>
      <c r="V9" s="12">
        <f t="shared" si="3"/>
        <v>17355</v>
      </c>
    </row>
    <row r="10" spans="1:22" ht="18" x14ac:dyDescent="0.3">
      <c r="A10" s="7">
        <v>45901</v>
      </c>
      <c r="B10" s="8">
        <v>0</v>
      </c>
      <c r="C10" s="8">
        <v>0</v>
      </c>
      <c r="D10" s="8">
        <v>0</v>
      </c>
      <c r="E10" s="8">
        <v>1400</v>
      </c>
      <c r="F10" s="8">
        <f t="shared" si="0"/>
        <v>1400</v>
      </c>
      <c r="G10" s="4"/>
      <c r="H10" s="7">
        <v>45901</v>
      </c>
      <c r="I10" s="8">
        <v>3255</v>
      </c>
      <c r="J10" s="8">
        <v>1295</v>
      </c>
      <c r="K10" s="8">
        <v>945</v>
      </c>
      <c r="L10" s="8">
        <v>6545</v>
      </c>
      <c r="M10" s="8">
        <f t="shared" si="1"/>
        <v>12040</v>
      </c>
      <c r="N10" s="2"/>
      <c r="O10" s="7">
        <v>45901</v>
      </c>
      <c r="P10" s="8">
        <v>600</v>
      </c>
      <c r="Q10" s="8">
        <v>450</v>
      </c>
      <c r="R10" s="8">
        <v>300</v>
      </c>
      <c r="S10" s="8">
        <v>75</v>
      </c>
      <c r="T10" s="8">
        <f t="shared" si="2"/>
        <v>1425</v>
      </c>
      <c r="U10" s="11"/>
      <c r="V10" s="12">
        <f t="shared" si="3"/>
        <v>14865</v>
      </c>
    </row>
    <row r="11" spans="1:22" ht="18" x14ac:dyDescent="0.3">
      <c r="A11" s="7">
        <v>45931</v>
      </c>
      <c r="B11" s="8">
        <v>2050</v>
      </c>
      <c r="C11" s="8">
        <v>0</v>
      </c>
      <c r="D11" s="8">
        <v>1500</v>
      </c>
      <c r="E11" s="8">
        <v>2325</v>
      </c>
      <c r="F11" s="8">
        <f t="shared" si="0"/>
        <v>5875</v>
      </c>
      <c r="G11" s="4"/>
      <c r="H11" s="7">
        <v>45931</v>
      </c>
      <c r="I11" s="8">
        <v>1610</v>
      </c>
      <c r="J11" s="8">
        <v>9905</v>
      </c>
      <c r="K11" s="8">
        <v>8015</v>
      </c>
      <c r="L11" s="8">
        <v>12250</v>
      </c>
      <c r="M11" s="8">
        <f t="shared" si="1"/>
        <v>31780</v>
      </c>
      <c r="N11" s="2"/>
      <c r="O11" s="7">
        <v>45931</v>
      </c>
      <c r="P11" s="8">
        <v>25</v>
      </c>
      <c r="Q11" s="8">
        <v>0</v>
      </c>
      <c r="R11" s="8">
        <v>150</v>
      </c>
      <c r="S11" s="8">
        <v>325</v>
      </c>
      <c r="T11" s="8">
        <f t="shared" si="2"/>
        <v>500</v>
      </c>
      <c r="U11" s="11"/>
      <c r="V11" s="12">
        <f t="shared" si="3"/>
        <v>38155</v>
      </c>
    </row>
    <row r="12" spans="1:22" ht="18" x14ac:dyDescent="0.3">
      <c r="A12" s="7">
        <v>45962</v>
      </c>
      <c r="B12" s="8">
        <v>0</v>
      </c>
      <c r="C12" s="8">
        <v>0</v>
      </c>
      <c r="D12" s="8">
        <v>0</v>
      </c>
      <c r="E12" s="8">
        <v>0</v>
      </c>
      <c r="F12" s="8">
        <f t="shared" si="0"/>
        <v>0</v>
      </c>
      <c r="G12" s="4"/>
      <c r="H12" s="7">
        <v>45962</v>
      </c>
      <c r="I12" s="8">
        <v>735</v>
      </c>
      <c r="J12" s="8">
        <v>315</v>
      </c>
      <c r="K12" s="8">
        <v>6475</v>
      </c>
      <c r="L12" s="8">
        <v>14175</v>
      </c>
      <c r="M12" s="8">
        <f t="shared" si="1"/>
        <v>21700</v>
      </c>
      <c r="N12" s="2"/>
      <c r="O12" s="7">
        <v>45962</v>
      </c>
      <c r="P12" s="8">
        <v>0</v>
      </c>
      <c r="Q12" s="8">
        <v>1550</v>
      </c>
      <c r="R12" s="8">
        <v>0</v>
      </c>
      <c r="S12" s="8">
        <v>0</v>
      </c>
      <c r="T12" s="8">
        <f t="shared" si="2"/>
        <v>1550</v>
      </c>
      <c r="U12" s="11"/>
      <c r="V12" s="12">
        <f t="shared" si="3"/>
        <v>23250</v>
      </c>
    </row>
    <row r="13" spans="1:22" ht="18" x14ac:dyDescent="0.3">
      <c r="A13" s="7">
        <v>45992</v>
      </c>
      <c r="B13" s="8">
        <v>0</v>
      </c>
      <c r="C13" s="8">
        <v>1100</v>
      </c>
      <c r="D13" s="8">
        <v>0</v>
      </c>
      <c r="E13" s="8">
        <v>150</v>
      </c>
      <c r="F13" s="8">
        <f t="shared" si="0"/>
        <v>1250</v>
      </c>
      <c r="G13" s="4"/>
      <c r="H13" s="7">
        <v>45992</v>
      </c>
      <c r="I13" s="8">
        <v>9275</v>
      </c>
      <c r="J13" s="8">
        <v>2660</v>
      </c>
      <c r="K13" s="8">
        <v>5495</v>
      </c>
      <c r="L13" s="8">
        <v>4690</v>
      </c>
      <c r="M13" s="8">
        <f t="shared" si="1"/>
        <v>22120</v>
      </c>
      <c r="N13" s="2"/>
      <c r="O13" s="7">
        <v>45992</v>
      </c>
      <c r="P13" s="8">
        <v>0</v>
      </c>
      <c r="Q13" s="8">
        <v>7575</v>
      </c>
      <c r="R13" s="8">
        <v>0</v>
      </c>
      <c r="S13" s="8">
        <v>0</v>
      </c>
      <c r="T13" s="8">
        <f t="shared" si="2"/>
        <v>7575</v>
      </c>
      <c r="U13" s="11"/>
      <c r="V13" s="12">
        <f t="shared" si="3"/>
        <v>30945</v>
      </c>
    </row>
    <row r="14" spans="1:22" ht="15" x14ac:dyDescent="0.3">
      <c r="A14" s="3"/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tabSelected="1" workbookViewId="0">
      <selection activeCell="L8" sqref="L8"/>
    </sheetView>
  </sheetViews>
  <sheetFormatPr baseColWidth="10" defaultRowHeight="14.4" x14ac:dyDescent="0.3"/>
  <cols>
    <col min="1" max="1" width="16.77734375" customWidth="1"/>
    <col min="2" max="6" width="18.77734375" customWidth="1"/>
    <col min="8" max="13" width="18.77734375" customWidth="1"/>
    <col min="15" max="15" width="0" hidden="1" customWidth="1"/>
    <col min="16" max="21" width="18.21875" hidden="1" customWidth="1"/>
    <col min="22" max="22" width="24.77734375" customWidth="1"/>
  </cols>
  <sheetData>
    <row r="1" spans="1:22" ht="15.6" x14ac:dyDescent="0.3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4"/>
      <c r="H1" s="10" t="s">
        <v>7</v>
      </c>
      <c r="I1" s="10" t="s">
        <v>2</v>
      </c>
      <c r="J1" s="10" t="s">
        <v>3</v>
      </c>
      <c r="K1" s="10" t="s">
        <v>4</v>
      </c>
      <c r="L1" s="10" t="s">
        <v>5</v>
      </c>
      <c r="M1" s="10" t="s">
        <v>6</v>
      </c>
      <c r="N1" s="2"/>
      <c r="O1" s="10" t="s">
        <v>8</v>
      </c>
      <c r="P1" s="10" t="s">
        <v>2</v>
      </c>
      <c r="Q1" s="10" t="s">
        <v>3</v>
      </c>
      <c r="R1" s="10" t="s">
        <v>4</v>
      </c>
      <c r="S1" s="10" t="s">
        <v>5</v>
      </c>
      <c r="T1" s="10" t="s">
        <v>6</v>
      </c>
      <c r="U1" s="11"/>
      <c r="V1" s="5" t="s">
        <v>0</v>
      </c>
    </row>
    <row r="2" spans="1:22" ht="18" x14ac:dyDescent="0.3">
      <c r="A2" s="7">
        <v>45658</v>
      </c>
      <c r="B2" s="8">
        <v>0</v>
      </c>
      <c r="C2" s="8">
        <v>0</v>
      </c>
      <c r="D2" s="8">
        <v>4275</v>
      </c>
      <c r="E2" s="8">
        <v>1500</v>
      </c>
      <c r="F2" s="8">
        <f>B2+C2+D2+E2</f>
        <v>5775</v>
      </c>
      <c r="G2" s="4"/>
      <c r="H2" s="7">
        <v>45658</v>
      </c>
      <c r="I2" s="8">
        <v>840</v>
      </c>
      <c r="J2" s="8">
        <v>0</v>
      </c>
      <c r="K2" s="8">
        <v>11235</v>
      </c>
      <c r="L2" s="8">
        <v>39900</v>
      </c>
      <c r="M2" s="8">
        <f>I2+J2+K2+L2</f>
        <v>51975</v>
      </c>
      <c r="N2" s="2"/>
      <c r="O2" s="7">
        <v>45658</v>
      </c>
      <c r="P2" s="8">
        <v>0</v>
      </c>
      <c r="Q2" s="8">
        <v>0</v>
      </c>
      <c r="R2" s="8">
        <v>0</v>
      </c>
      <c r="S2" s="8">
        <v>0</v>
      </c>
      <c r="T2" s="8">
        <f>P2+Q2+R2+S2</f>
        <v>0</v>
      </c>
      <c r="U2" s="11"/>
      <c r="V2" s="12">
        <f>M2+F2+T2</f>
        <v>57750</v>
      </c>
    </row>
    <row r="3" spans="1:22" ht="18" x14ac:dyDescent="0.3">
      <c r="A3" s="7">
        <v>45689</v>
      </c>
      <c r="B3" s="8">
        <v>0</v>
      </c>
      <c r="C3" s="8">
        <v>0</v>
      </c>
      <c r="D3" s="8">
        <v>0</v>
      </c>
      <c r="E3" s="8">
        <v>0</v>
      </c>
      <c r="F3" s="8">
        <v>1375</v>
      </c>
      <c r="G3" s="4"/>
      <c r="H3" s="7">
        <v>45689</v>
      </c>
      <c r="I3" s="8">
        <v>0</v>
      </c>
      <c r="J3" s="8">
        <v>8995</v>
      </c>
      <c r="K3" s="8">
        <v>17955</v>
      </c>
      <c r="L3" s="8">
        <v>4830</v>
      </c>
      <c r="M3" s="8">
        <f t="shared" ref="M3:M13" si="0">I3+J3+K3+L3</f>
        <v>31780</v>
      </c>
      <c r="N3" s="2"/>
      <c r="O3" s="7">
        <v>45689</v>
      </c>
      <c r="P3" s="8">
        <v>0</v>
      </c>
      <c r="Q3" s="8">
        <v>0</v>
      </c>
      <c r="R3" s="8">
        <v>0</v>
      </c>
      <c r="S3" s="8">
        <v>0</v>
      </c>
      <c r="T3" s="8">
        <f t="shared" ref="T3:T13" si="1">P3+Q3+R3+S3</f>
        <v>0</v>
      </c>
      <c r="U3" s="11"/>
      <c r="V3" s="12">
        <f t="shared" ref="V3:V13" si="2">M3+F3+T3</f>
        <v>33155</v>
      </c>
    </row>
    <row r="4" spans="1:22" ht="18" x14ac:dyDescent="0.3">
      <c r="A4" s="7">
        <v>45717</v>
      </c>
      <c r="B4" s="8">
        <v>0</v>
      </c>
      <c r="C4" s="8">
        <v>0</v>
      </c>
      <c r="D4" s="8">
        <v>0</v>
      </c>
      <c r="E4" s="8">
        <v>425</v>
      </c>
      <c r="F4" s="8">
        <f t="shared" ref="F4:F13" si="3">B4+C4+D4+E4</f>
        <v>425</v>
      </c>
      <c r="G4" s="4"/>
      <c r="H4" s="7">
        <v>45717</v>
      </c>
      <c r="I4" s="8">
        <v>13160</v>
      </c>
      <c r="J4" s="8">
        <v>8155</v>
      </c>
      <c r="K4" s="8">
        <v>3990</v>
      </c>
      <c r="L4" s="8">
        <v>28000</v>
      </c>
      <c r="M4" s="8">
        <f t="shared" si="0"/>
        <v>53305</v>
      </c>
      <c r="N4" s="2"/>
      <c r="O4" s="7">
        <v>45717</v>
      </c>
      <c r="P4" s="8">
        <v>0</v>
      </c>
      <c r="Q4" s="8">
        <v>0</v>
      </c>
      <c r="R4" s="8">
        <v>0</v>
      </c>
      <c r="S4" s="8">
        <v>0</v>
      </c>
      <c r="T4" s="8">
        <f t="shared" si="1"/>
        <v>0</v>
      </c>
      <c r="U4" s="11"/>
      <c r="V4" s="12">
        <f t="shared" si="2"/>
        <v>53730</v>
      </c>
    </row>
    <row r="5" spans="1:22" ht="18" x14ac:dyDescent="0.3">
      <c r="A5" s="7">
        <v>45748</v>
      </c>
      <c r="B5" s="8">
        <v>0</v>
      </c>
      <c r="C5" s="8">
        <v>0</v>
      </c>
      <c r="D5" s="8">
        <v>0</v>
      </c>
      <c r="E5" s="8">
        <v>0</v>
      </c>
      <c r="F5" s="8">
        <f t="shared" si="3"/>
        <v>0</v>
      </c>
      <c r="G5" s="4"/>
      <c r="H5" s="7">
        <v>45748</v>
      </c>
      <c r="I5" s="8">
        <v>23100</v>
      </c>
      <c r="J5" s="8">
        <v>22330</v>
      </c>
      <c r="K5" s="8">
        <v>35280</v>
      </c>
      <c r="L5" s="8">
        <v>36645</v>
      </c>
      <c r="M5" s="8">
        <f t="shared" si="0"/>
        <v>117355</v>
      </c>
      <c r="N5" s="2"/>
      <c r="O5" s="7">
        <v>45748</v>
      </c>
      <c r="P5" s="8">
        <v>0</v>
      </c>
      <c r="Q5" s="8">
        <v>0</v>
      </c>
      <c r="R5" s="8">
        <v>0</v>
      </c>
      <c r="S5" s="8">
        <v>0</v>
      </c>
      <c r="T5" s="8">
        <f t="shared" si="1"/>
        <v>0</v>
      </c>
      <c r="U5" s="11"/>
      <c r="V5" s="12">
        <f t="shared" si="2"/>
        <v>117355</v>
      </c>
    </row>
    <row r="6" spans="1:22" ht="18" x14ac:dyDescent="0.3">
      <c r="A6" s="7">
        <v>45778</v>
      </c>
      <c r="B6" s="8">
        <v>0</v>
      </c>
      <c r="C6" s="8">
        <v>0</v>
      </c>
      <c r="D6" s="8">
        <v>0</v>
      </c>
      <c r="E6" s="8">
        <v>0</v>
      </c>
      <c r="F6" s="8">
        <f t="shared" si="3"/>
        <v>0</v>
      </c>
      <c r="G6" s="4"/>
      <c r="H6" s="7">
        <v>45778</v>
      </c>
      <c r="I6" s="8">
        <v>41545</v>
      </c>
      <c r="J6" s="8">
        <v>23065</v>
      </c>
      <c r="K6" s="8">
        <v>8295</v>
      </c>
      <c r="L6" s="8">
        <v>32095</v>
      </c>
      <c r="M6" s="8">
        <f t="shared" si="0"/>
        <v>105000</v>
      </c>
      <c r="N6" s="2"/>
      <c r="O6" s="7">
        <v>45778</v>
      </c>
      <c r="P6" s="8">
        <v>0</v>
      </c>
      <c r="Q6" s="8">
        <v>0</v>
      </c>
      <c r="R6" s="8">
        <v>0</v>
      </c>
      <c r="S6" s="8">
        <v>0</v>
      </c>
      <c r="T6" s="8">
        <f t="shared" si="1"/>
        <v>0</v>
      </c>
      <c r="U6" s="11"/>
      <c r="V6" s="12">
        <f t="shared" si="2"/>
        <v>105000</v>
      </c>
    </row>
    <row r="7" spans="1:22" ht="18" x14ac:dyDescent="0.3">
      <c r="A7" s="7">
        <v>45809</v>
      </c>
      <c r="B7" s="8">
        <v>0</v>
      </c>
      <c r="C7" s="8">
        <v>0</v>
      </c>
      <c r="D7" s="8">
        <v>0</v>
      </c>
      <c r="E7" s="8">
        <v>100</v>
      </c>
      <c r="F7" s="8">
        <f t="shared" si="3"/>
        <v>100</v>
      </c>
      <c r="G7" s="4"/>
      <c r="H7" s="7">
        <v>45809</v>
      </c>
      <c r="I7" s="8">
        <v>13335</v>
      </c>
      <c r="J7" s="8">
        <v>18480</v>
      </c>
      <c r="K7" s="8">
        <v>35420</v>
      </c>
      <c r="L7" s="8">
        <v>28910</v>
      </c>
      <c r="M7" s="8">
        <f t="shared" si="0"/>
        <v>96145</v>
      </c>
      <c r="N7" s="2"/>
      <c r="O7" s="7">
        <v>45809</v>
      </c>
      <c r="P7" s="8">
        <v>0</v>
      </c>
      <c r="Q7" s="8">
        <v>0</v>
      </c>
      <c r="R7" s="8">
        <v>0</v>
      </c>
      <c r="S7" s="8">
        <v>0</v>
      </c>
      <c r="T7" s="8">
        <f t="shared" si="1"/>
        <v>0</v>
      </c>
      <c r="U7" s="11"/>
      <c r="V7" s="12">
        <f t="shared" si="2"/>
        <v>96245</v>
      </c>
    </row>
    <row r="8" spans="1:22" ht="18" x14ac:dyDescent="0.3">
      <c r="A8" s="7">
        <v>45839</v>
      </c>
      <c r="B8" s="8">
        <v>0</v>
      </c>
      <c r="C8" s="8">
        <v>0</v>
      </c>
      <c r="D8" s="8">
        <v>0</v>
      </c>
      <c r="E8" s="8">
        <v>0</v>
      </c>
      <c r="F8" s="8">
        <f t="shared" si="3"/>
        <v>0</v>
      </c>
      <c r="G8" s="4"/>
      <c r="H8" s="7">
        <v>45839</v>
      </c>
      <c r="I8" s="8">
        <v>0</v>
      </c>
      <c r="J8" s="8">
        <v>0</v>
      </c>
      <c r="K8" s="8">
        <v>0</v>
      </c>
      <c r="L8" s="8">
        <v>0</v>
      </c>
      <c r="M8" s="8">
        <f t="shared" si="0"/>
        <v>0</v>
      </c>
      <c r="N8" s="2"/>
      <c r="O8" s="7">
        <v>45839</v>
      </c>
      <c r="P8" s="8">
        <v>0</v>
      </c>
      <c r="Q8" s="8">
        <v>0</v>
      </c>
      <c r="R8" s="8">
        <v>0</v>
      </c>
      <c r="S8" s="8">
        <v>0</v>
      </c>
      <c r="T8" s="8">
        <f t="shared" si="1"/>
        <v>0</v>
      </c>
      <c r="U8" s="11"/>
      <c r="V8" s="12">
        <f t="shared" si="2"/>
        <v>0</v>
      </c>
    </row>
    <row r="9" spans="1:22" ht="18" x14ac:dyDescent="0.3">
      <c r="A9" s="7">
        <v>45870</v>
      </c>
      <c r="B9" s="8">
        <v>0</v>
      </c>
      <c r="C9" s="8">
        <v>0</v>
      </c>
      <c r="D9" s="8">
        <v>0</v>
      </c>
      <c r="E9" s="8">
        <v>0</v>
      </c>
      <c r="F9" s="8">
        <f t="shared" si="3"/>
        <v>0</v>
      </c>
      <c r="G9" s="4"/>
      <c r="H9" s="7">
        <v>45870</v>
      </c>
      <c r="I9" s="8">
        <v>0</v>
      </c>
      <c r="J9" s="8">
        <v>0</v>
      </c>
      <c r="K9" s="8">
        <v>0</v>
      </c>
      <c r="L9" s="8">
        <v>0</v>
      </c>
      <c r="M9" s="8">
        <f t="shared" si="0"/>
        <v>0</v>
      </c>
      <c r="N9" s="2"/>
      <c r="O9" s="7">
        <v>45870</v>
      </c>
      <c r="P9" s="8">
        <v>0</v>
      </c>
      <c r="Q9" s="8">
        <v>0</v>
      </c>
      <c r="R9" s="8">
        <v>0</v>
      </c>
      <c r="S9" s="8">
        <v>0</v>
      </c>
      <c r="T9" s="8">
        <f t="shared" si="1"/>
        <v>0</v>
      </c>
      <c r="U9" s="11"/>
      <c r="V9" s="12">
        <f t="shared" si="2"/>
        <v>0</v>
      </c>
    </row>
    <row r="10" spans="1:22" ht="18" x14ac:dyDescent="0.3">
      <c r="A10" s="7">
        <v>45901</v>
      </c>
      <c r="B10" s="8">
        <v>0</v>
      </c>
      <c r="C10" s="8">
        <v>0</v>
      </c>
      <c r="D10" s="8">
        <v>0</v>
      </c>
      <c r="E10" s="8">
        <v>0</v>
      </c>
      <c r="F10" s="8">
        <f t="shared" si="3"/>
        <v>0</v>
      </c>
      <c r="G10" s="4"/>
      <c r="H10" s="7">
        <v>45901</v>
      </c>
      <c r="I10" s="8">
        <v>0</v>
      </c>
      <c r="J10" s="8">
        <v>0</v>
      </c>
      <c r="K10" s="8">
        <v>0</v>
      </c>
      <c r="L10" s="8">
        <v>0</v>
      </c>
      <c r="M10" s="8">
        <f t="shared" si="0"/>
        <v>0</v>
      </c>
      <c r="N10" s="2"/>
      <c r="O10" s="7">
        <v>45901</v>
      </c>
      <c r="P10" s="8">
        <v>0</v>
      </c>
      <c r="Q10" s="8">
        <v>0</v>
      </c>
      <c r="R10" s="8">
        <v>0</v>
      </c>
      <c r="S10" s="8">
        <v>0</v>
      </c>
      <c r="T10" s="8">
        <f t="shared" si="1"/>
        <v>0</v>
      </c>
      <c r="U10" s="11"/>
      <c r="V10" s="12">
        <f t="shared" si="2"/>
        <v>0</v>
      </c>
    </row>
    <row r="11" spans="1:22" ht="18" x14ac:dyDescent="0.3">
      <c r="A11" s="7">
        <v>45931</v>
      </c>
      <c r="B11" s="8">
        <v>0</v>
      </c>
      <c r="C11" s="8">
        <v>0</v>
      </c>
      <c r="D11" s="8">
        <v>0</v>
      </c>
      <c r="E11" s="8">
        <v>0</v>
      </c>
      <c r="F11" s="8">
        <f t="shared" si="3"/>
        <v>0</v>
      </c>
      <c r="G11" s="4"/>
      <c r="H11" s="7">
        <v>45931</v>
      </c>
      <c r="I11" s="8">
        <v>0</v>
      </c>
      <c r="J11" s="8">
        <v>0</v>
      </c>
      <c r="K11" s="8">
        <v>0</v>
      </c>
      <c r="L11" s="8">
        <v>0</v>
      </c>
      <c r="M11" s="8">
        <f t="shared" si="0"/>
        <v>0</v>
      </c>
      <c r="N11" s="2"/>
      <c r="O11" s="7">
        <v>45931</v>
      </c>
      <c r="P11" s="8">
        <v>0</v>
      </c>
      <c r="Q11" s="8">
        <v>0</v>
      </c>
      <c r="R11" s="8">
        <v>0</v>
      </c>
      <c r="S11" s="8">
        <v>0</v>
      </c>
      <c r="T11" s="8">
        <f t="shared" si="1"/>
        <v>0</v>
      </c>
      <c r="U11" s="11"/>
      <c r="V11" s="12">
        <f t="shared" si="2"/>
        <v>0</v>
      </c>
    </row>
    <row r="12" spans="1:22" ht="18" x14ac:dyDescent="0.3">
      <c r="A12" s="7">
        <v>45962</v>
      </c>
      <c r="B12" s="8">
        <v>0</v>
      </c>
      <c r="C12" s="8">
        <v>0</v>
      </c>
      <c r="D12" s="8">
        <v>0</v>
      </c>
      <c r="E12" s="8">
        <v>0</v>
      </c>
      <c r="F12" s="8">
        <f t="shared" si="3"/>
        <v>0</v>
      </c>
      <c r="G12" s="4"/>
      <c r="H12" s="7">
        <v>45962</v>
      </c>
      <c r="I12" s="8">
        <v>0</v>
      </c>
      <c r="J12" s="8">
        <v>0</v>
      </c>
      <c r="K12" s="8">
        <v>0</v>
      </c>
      <c r="L12" s="8">
        <v>0</v>
      </c>
      <c r="M12" s="8">
        <f t="shared" si="0"/>
        <v>0</v>
      </c>
      <c r="N12" s="2"/>
      <c r="O12" s="7">
        <v>45962</v>
      </c>
      <c r="P12" s="8">
        <v>0</v>
      </c>
      <c r="Q12" s="8">
        <v>0</v>
      </c>
      <c r="R12" s="8">
        <v>0</v>
      </c>
      <c r="S12" s="8">
        <v>0</v>
      </c>
      <c r="T12" s="8">
        <f t="shared" si="1"/>
        <v>0</v>
      </c>
      <c r="U12" s="11"/>
      <c r="V12" s="12">
        <f t="shared" si="2"/>
        <v>0</v>
      </c>
    </row>
    <row r="13" spans="1:22" ht="18" x14ac:dyDescent="0.3">
      <c r="A13" s="7">
        <v>45992</v>
      </c>
      <c r="B13" s="8">
        <v>0</v>
      </c>
      <c r="C13" s="8">
        <v>0</v>
      </c>
      <c r="D13" s="8">
        <v>0</v>
      </c>
      <c r="E13" s="8">
        <v>0</v>
      </c>
      <c r="F13" s="8">
        <f t="shared" si="3"/>
        <v>0</v>
      </c>
      <c r="G13" s="4"/>
      <c r="H13" s="7">
        <v>45992</v>
      </c>
      <c r="I13" s="8">
        <v>0</v>
      </c>
      <c r="J13" s="8">
        <v>0</v>
      </c>
      <c r="K13" s="8">
        <v>0</v>
      </c>
      <c r="L13" s="8">
        <v>0</v>
      </c>
      <c r="M13" s="8">
        <f t="shared" si="0"/>
        <v>0</v>
      </c>
      <c r="N13" s="2"/>
      <c r="O13" s="7">
        <v>45992</v>
      </c>
      <c r="P13" s="8">
        <v>0</v>
      </c>
      <c r="Q13" s="8">
        <v>0</v>
      </c>
      <c r="R13" s="8">
        <v>0</v>
      </c>
      <c r="S13" s="8">
        <v>0</v>
      </c>
      <c r="T13" s="8">
        <f t="shared" si="1"/>
        <v>0</v>
      </c>
      <c r="U13" s="11"/>
      <c r="V13" s="12">
        <f t="shared" si="2"/>
        <v>0</v>
      </c>
    </row>
    <row r="14" spans="1:22" ht="15" x14ac:dyDescent="0.3">
      <c r="A14" s="3"/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 DETENTION SEMANAL 2024</vt:lpstr>
      <vt:lpstr>COSTOS DETENTION SEMANAL 2025</vt:lpstr>
      <vt:lpstr>COSTOS DETENTION SEMANAL 2026</vt:lpstr>
    </vt:vector>
  </TitlesOfParts>
  <Company>The Dow Chemical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Omar (O)</dc:creator>
  <cp:lastModifiedBy>Operez</cp:lastModifiedBy>
  <dcterms:created xsi:type="dcterms:W3CDTF">2020-05-08T19:18:44Z</dcterms:created>
  <dcterms:modified xsi:type="dcterms:W3CDTF">2026-07-07T14:00:17Z</dcterms:modified>
</cp:coreProperties>
</file>